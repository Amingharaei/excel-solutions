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n/Personal/excel repo files/"/>
    </mc:Choice>
  </mc:AlternateContent>
  <xr:revisionPtr revIDLastSave="0" documentId="13_ncr:1_{699BB5F2-C460-2546-BAF9-5D5FE730E1D6}" xr6:coauthVersionLast="47" xr6:coauthVersionMax="47" xr10:uidLastSave="{00000000-0000-0000-0000-000000000000}"/>
  <bookViews>
    <workbookView xWindow="0" yWindow="680" windowWidth="34200" windowHeight="21460" xr2:uid="{FD755497-943C-4B40-A22B-223DC16E9A85}"/>
  </bookViews>
  <sheets>
    <sheet name="Multirow - Xlookup 1" sheetId="2" r:id="rId1"/>
    <sheet name="Multirow - Xlookup 2" sheetId="3" r:id="rId2"/>
    <sheet name="Single Row - Filter" sheetId="4" r:id="rId3"/>
  </sheets>
  <definedNames>
    <definedName name="Employess">_xlfn.XLOOKUP('Multirow - Xlookup 2'!XFD1, EmployeeTbl2[Department], EmployeeTbl2[Employee Name]) : _xlfn.XLOOKUP('Multirow - Xlookup 2'!XFD1, EmployeeTbl2[Department], EmployeeTbl2[Employee Name], , , -1)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4" l="1" a="1"/>
  <c r="F3" i="4" a="1"/>
  <c r="F2" i="2" a="1"/>
  <c r="F3" i="3" a="1"/>
  <c r="G3" i="2" l="1" a="1"/>
  <c r="J3" i="2" a="1"/>
  <c r="H3" i="2" a="1"/>
  <c r="I3" i="2" a="1"/>
  <c r="F3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<sst xmlns="http://schemas.openxmlformats.org/spreadsheetml/2006/main" count="146" uniqueCount="35">
  <si>
    <t>Employee Key</t>
  </si>
  <si>
    <t>Employee Name</t>
  </si>
  <si>
    <t>Department</t>
  </si>
  <si>
    <t>Elena Rostova</t>
  </si>
  <si>
    <t>Operations</t>
  </si>
  <si>
    <t>Marcus Vance</t>
  </si>
  <si>
    <t>Kwamé Mensah</t>
  </si>
  <si>
    <t>Priya Nair</t>
  </si>
  <si>
    <t>Engineering</t>
  </si>
  <si>
    <t>Liam O'Connor</t>
  </si>
  <si>
    <t>Tariq Al-Mansoor</t>
  </si>
  <si>
    <t>Linnea Lindstrom</t>
  </si>
  <si>
    <t>Chloe Dubois</t>
  </si>
  <si>
    <t>Marketing</t>
  </si>
  <si>
    <t>Hiroshi Tanaka</t>
  </si>
  <si>
    <t>Mateo Fernandez</t>
  </si>
  <si>
    <t>Arjun Mehta</t>
  </si>
  <si>
    <t>Anya Kowalski</t>
  </si>
  <si>
    <t>Finance</t>
  </si>
  <si>
    <t>Silas Thorne</t>
  </si>
  <si>
    <t>Zara Sterling</t>
  </si>
  <si>
    <t>Elif Yilmaz</t>
  </si>
  <si>
    <t>Alistair Graham</t>
  </si>
  <si>
    <t>Legal</t>
  </si>
  <si>
    <t>Seraphina Finch</t>
  </si>
  <si>
    <t>Unique Departments</t>
  </si>
  <si>
    <t>Test the drop-down lists</t>
  </si>
  <si>
    <t>Select the department</t>
  </si>
  <si>
    <t>Select the employee</t>
  </si>
  <si>
    <t>The Employee Table</t>
  </si>
  <si>
    <t>Select the Department</t>
  </si>
  <si>
    <t>Select the Employee</t>
  </si>
  <si>
    <t>Unique departments and the employees in each one</t>
  </si>
  <si>
    <t>Test the drop-down list</t>
  </si>
  <si>
    <t>Employees of the Selected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</si>
</sst>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1F1F1F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b/>
      <sz val="14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AEC9E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hair">
        <color theme="1" tint="0.24994659260841701"/>
      </bottom>
      <diagonal/>
    </border>
    <border>
      <left/>
      <right/>
      <top style="hair">
        <color theme="1" tint="0.24994659260841701"/>
      </top>
      <bottom style="hair">
        <color theme="1" tint="0.2499465926084170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5" borderId="1" xfId="0" applyFont="1" applyFill="1" applyBorder="1" applyAlignment="1">
      <alignment horizontal="centerContinuous" vertical="center"/>
    </xf>
    <xf numFmtId="0" fontId="4" fillId="4" borderId="2" xfId="0" applyFont="1" applyFill="1" applyBorder="1" applyAlignment="1">
      <alignment horizontal="centerContinuous" vertical="center"/>
    </xf>
    <xf numFmtId="0" fontId="3" fillId="4" borderId="2" xfId="0" applyFont="1" applyFill="1" applyBorder="1" applyAlignment="1">
      <alignment horizontal="centerContinuous" vertical="center"/>
    </xf>
    <xf numFmtId="0" fontId="4" fillId="2" borderId="2" xfId="0" applyFont="1" applyFill="1" applyBorder="1" applyAlignment="1">
      <alignment horizontal="centerContinuous" vertical="center"/>
    </xf>
    <xf numFmtId="0" fontId="1" fillId="0" borderId="0" xfId="0" applyFont="1" applyBorder="1"/>
    <xf numFmtId="0" fontId="3" fillId="0" borderId="5" xfId="0" applyFont="1" applyBorder="1"/>
    <xf numFmtId="0" fontId="1" fillId="0" borderId="5" xfId="0" applyFont="1" applyBorder="1"/>
    <xf numFmtId="0" fontId="0" fillId="0" borderId="0" xfId="0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3" fillId="0" borderId="4" xfId="0" applyFont="1" applyBorder="1"/>
    <xf numFmtId="0" fontId="3" fillId="2" borderId="0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Arial"/>
        <family val="2"/>
        <scheme val="none"/>
      </font>
      <fill>
        <patternFill patternType="solid">
          <fgColor indexed="64"/>
          <bgColor rgb="FFAEC9E9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Arial"/>
        <family val="2"/>
        <scheme val="none"/>
      </font>
      <fill>
        <patternFill patternType="solid">
          <fgColor indexed="64"/>
          <bgColor rgb="FFAEC9E9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Arial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Arial"/>
        <family val="2"/>
        <scheme val="none"/>
      </font>
    </dxf>
  </dxfs>
  <tableStyles count="0" defaultTableStyle="TableStyleMedium2" defaultPivotStyle="PivotStyleLight16"/>
  <colors>
    <mruColors>
      <color rgb="FFAEC9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amingharaei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amingharaei/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amingharaei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241300</xdr:colOff>
      <xdr:row>32</xdr:row>
      <xdr:rowOff>177800</xdr:rowOff>
    </xdr:from>
    <xdr:to>
      <xdr:col>1</xdr:col>
      <xdr:colOff>723900</xdr:colOff>
      <xdr:row>36</xdr:row>
      <xdr:rowOff>101600</xdr:rowOff>
    </xdr:to>
    <xdr:sp macro="" textlink="">
      <xdr:nvSpPr>
        <xdr:cNvPr id="6" name="Graphic 4">
          <a:hlinkClick xmlns:r="http://schemas.openxmlformats.org/officeDocument/2006/relationships" r:id="rId1" tooltip="My linkedin profile"/>
          <a:extLst>
            <a:ext uri="{FF2B5EF4-FFF2-40B4-BE49-F238E27FC236}">
              <a16:creationId xmlns:a16="http://schemas.microsoft.com/office/drawing/2014/main" id="{2C291F2A-4955-59C5-BFA4-BE0A916C7325}"/>
            </a:ext>
          </a:extLst>
        </xdr:cNvPr>
        <xdr:cNvSpPr/>
      </xdr:nvSpPr>
      <xdr:spPr>
        <a:xfrm>
          <a:off x="241300" y="7721600"/>
          <a:ext cx="736600" cy="736600"/>
        </a:xfrm>
        <a:custGeom>
          <a:avLst/>
          <a:gdLst>
            <a:gd name="csX0" fmla="*/ 0 w 736600"/>
            <a:gd name="csY0" fmla="*/ 52759 h 736600"/>
            <a:gd name="csX1" fmla="*/ 54094 w 736600"/>
            <a:gd name="csY1" fmla="*/ 0 h 736600"/>
            <a:gd name="csX2" fmla="*/ 682506 w 736600"/>
            <a:gd name="csY2" fmla="*/ 0 h 736600"/>
            <a:gd name="csX3" fmla="*/ 736600 w 736600"/>
            <a:gd name="csY3" fmla="*/ 52759 h 736600"/>
            <a:gd name="csX4" fmla="*/ 736600 w 736600"/>
            <a:gd name="csY4" fmla="*/ 683841 h 736600"/>
            <a:gd name="csX5" fmla="*/ 682506 w 736600"/>
            <a:gd name="csY5" fmla="*/ 736600 h 736600"/>
            <a:gd name="csX6" fmla="*/ 54094 w 736600"/>
            <a:gd name="csY6" fmla="*/ 736600 h 736600"/>
            <a:gd name="csX7" fmla="*/ 0 w 736600"/>
            <a:gd name="csY7" fmla="*/ 683841 h 736600"/>
            <a:gd name="csX8" fmla="*/ 227563 w 736600"/>
            <a:gd name="csY8" fmla="*/ 616626 h 736600"/>
            <a:gd name="csX9" fmla="*/ 227563 w 736600"/>
            <a:gd name="csY9" fmla="*/ 284005 h 736600"/>
            <a:gd name="csX10" fmla="*/ 117027 w 736600"/>
            <a:gd name="csY10" fmla="*/ 284005 h 736600"/>
            <a:gd name="csX11" fmla="*/ 117027 w 736600"/>
            <a:gd name="csY11" fmla="*/ 616626 h 736600"/>
            <a:gd name="csX12" fmla="*/ 172318 w 736600"/>
            <a:gd name="csY12" fmla="*/ 238566 h 736600"/>
            <a:gd name="csX13" fmla="*/ 234837 w 736600"/>
            <a:gd name="csY13" fmla="*/ 181112 h 736600"/>
            <a:gd name="csX14" fmla="*/ 173055 w 736600"/>
            <a:gd name="csY14" fmla="*/ 123657 h 736600"/>
            <a:gd name="csX15" fmla="*/ 110490 w 736600"/>
            <a:gd name="csY15" fmla="*/ 181112 h 736600"/>
            <a:gd name="csX16" fmla="*/ 171582 w 736600"/>
            <a:gd name="csY16" fmla="*/ 238566 h 736600"/>
            <a:gd name="csX17" fmla="*/ 398270 w 736600"/>
            <a:gd name="csY17" fmla="*/ 616626 h 736600"/>
            <a:gd name="csX18" fmla="*/ 398270 w 736600"/>
            <a:gd name="csY18" fmla="*/ 430865 h 736600"/>
            <a:gd name="csX19" fmla="*/ 401953 w 736600"/>
            <a:gd name="csY19" fmla="*/ 403887 h 736600"/>
            <a:gd name="csX20" fmla="*/ 458672 w 736600"/>
            <a:gd name="csY20" fmla="*/ 363466 h 736600"/>
            <a:gd name="csX21" fmla="*/ 514653 w 736600"/>
            <a:gd name="csY21" fmla="*/ 438691 h 736600"/>
            <a:gd name="csX22" fmla="*/ 514653 w 736600"/>
            <a:gd name="csY22" fmla="*/ 616626 h 736600"/>
            <a:gd name="csX23" fmla="*/ 625189 w 736600"/>
            <a:gd name="csY23" fmla="*/ 616626 h 736600"/>
            <a:gd name="csX24" fmla="*/ 625189 w 736600"/>
            <a:gd name="csY24" fmla="*/ 425847 h 736600"/>
            <a:gd name="csX25" fmla="*/ 497942 w 736600"/>
            <a:gd name="csY25" fmla="*/ 276133 h 736600"/>
            <a:gd name="csX26" fmla="*/ 398270 w 736600"/>
            <a:gd name="csY26" fmla="*/ 331056 h 736600"/>
            <a:gd name="csX27" fmla="*/ 398270 w 736600"/>
            <a:gd name="csY27" fmla="*/ 332207 h 736600"/>
            <a:gd name="csX28" fmla="*/ 397534 w 736600"/>
            <a:gd name="csY28" fmla="*/ 332207 h 736600"/>
            <a:gd name="csX29" fmla="*/ 398270 w 736600"/>
            <a:gd name="csY29" fmla="*/ 331056 h 736600"/>
            <a:gd name="csX30" fmla="*/ 398270 w 736600"/>
            <a:gd name="csY30" fmla="*/ 284005 h 736600"/>
            <a:gd name="csX31" fmla="*/ 287780 w 736600"/>
            <a:gd name="csY31" fmla="*/ 284005 h 736600"/>
            <a:gd name="csX32" fmla="*/ 287780 w 736600"/>
            <a:gd name="csY32" fmla="*/ 616626 h 7366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</a:cxnLst>
          <a:rect l="l" t="t" r="r" b="b"/>
          <a:pathLst>
            <a:path w="736600" h="736600">
              <a:moveTo>
                <a:pt x="0" y="52759"/>
              </a:moveTo>
              <a:cubicBezTo>
                <a:pt x="0" y="23617"/>
                <a:pt x="24216" y="0"/>
                <a:pt x="54094" y="0"/>
              </a:cubicBezTo>
              <a:lnTo>
                <a:pt x="682506" y="0"/>
              </a:lnTo>
              <a:cubicBezTo>
                <a:pt x="712384" y="0"/>
                <a:pt x="736600" y="23617"/>
                <a:pt x="736600" y="52759"/>
              </a:cubicBezTo>
              <a:lnTo>
                <a:pt x="736600" y="683841"/>
              </a:lnTo>
              <a:cubicBezTo>
                <a:pt x="736600" y="712983"/>
                <a:pt x="712384" y="736600"/>
                <a:pt x="682506" y="736600"/>
              </a:cubicBezTo>
              <a:lnTo>
                <a:pt x="54094" y="736600"/>
              </a:lnTo>
              <a:cubicBezTo>
                <a:pt x="24216" y="736600"/>
                <a:pt x="0" y="712983"/>
                <a:pt x="0" y="683841"/>
              </a:cubicBezTo>
              <a:close/>
              <a:moveTo>
                <a:pt x="227563" y="616626"/>
              </a:moveTo>
              <a:lnTo>
                <a:pt x="227563" y="284005"/>
              </a:lnTo>
              <a:lnTo>
                <a:pt x="117027" y="284005"/>
              </a:lnTo>
              <a:lnTo>
                <a:pt x="117027" y="616626"/>
              </a:lnTo>
              <a:close/>
              <a:moveTo>
                <a:pt x="172318" y="238566"/>
              </a:moveTo>
              <a:cubicBezTo>
                <a:pt x="210852" y="238566"/>
                <a:pt x="234837" y="213062"/>
                <a:pt x="234837" y="181112"/>
              </a:cubicBezTo>
              <a:cubicBezTo>
                <a:pt x="234147" y="148471"/>
                <a:pt x="210898" y="123657"/>
                <a:pt x="173055" y="123657"/>
              </a:cubicBezTo>
              <a:cubicBezTo>
                <a:pt x="135212" y="123657"/>
                <a:pt x="110490" y="148517"/>
                <a:pt x="110490" y="181112"/>
              </a:cubicBezTo>
              <a:cubicBezTo>
                <a:pt x="110490" y="213062"/>
                <a:pt x="134476" y="238566"/>
                <a:pt x="171582" y="238566"/>
              </a:cubicBezTo>
              <a:close/>
              <a:moveTo>
                <a:pt x="398270" y="616626"/>
              </a:moveTo>
              <a:lnTo>
                <a:pt x="398270" y="430865"/>
              </a:lnTo>
              <a:cubicBezTo>
                <a:pt x="398270" y="420921"/>
                <a:pt x="399007" y="410977"/>
                <a:pt x="401953" y="403887"/>
              </a:cubicBezTo>
              <a:cubicBezTo>
                <a:pt x="409918" y="384045"/>
                <a:pt x="428103" y="363466"/>
                <a:pt x="458672" y="363466"/>
              </a:cubicBezTo>
              <a:cubicBezTo>
                <a:pt x="498678" y="363466"/>
                <a:pt x="514653" y="393943"/>
                <a:pt x="514653" y="438691"/>
              </a:cubicBezTo>
              <a:lnTo>
                <a:pt x="514653" y="616626"/>
              </a:lnTo>
              <a:lnTo>
                <a:pt x="625189" y="616626"/>
              </a:lnTo>
              <a:lnTo>
                <a:pt x="625189" y="425847"/>
              </a:lnTo>
              <a:cubicBezTo>
                <a:pt x="625189" y="323644"/>
                <a:pt x="570681" y="276133"/>
                <a:pt x="497942" y="276133"/>
              </a:cubicBezTo>
              <a:cubicBezTo>
                <a:pt x="439290" y="276133"/>
                <a:pt x="413002" y="308359"/>
                <a:pt x="398270" y="331056"/>
              </a:cubicBezTo>
              <a:lnTo>
                <a:pt x="398270" y="332207"/>
              </a:lnTo>
              <a:lnTo>
                <a:pt x="397534" y="332207"/>
              </a:lnTo>
              <a:lnTo>
                <a:pt x="398270" y="331056"/>
              </a:lnTo>
              <a:lnTo>
                <a:pt x="398270" y="284005"/>
              </a:lnTo>
              <a:lnTo>
                <a:pt x="287780" y="284005"/>
              </a:lnTo>
              <a:cubicBezTo>
                <a:pt x="289162" y="315219"/>
                <a:pt x="287780" y="616626"/>
                <a:pt x="287780" y="616626"/>
              </a:cubicBezTo>
              <a:close/>
            </a:path>
          </a:pathLst>
        </a:custGeom>
        <a:solidFill>
          <a:schemeClr val="tx2">
            <a:lumMod val="75000"/>
            <a:lumOff val="25000"/>
          </a:schemeClr>
        </a:solidFill>
        <a:ln w="45839" cap="flat">
          <a:noFill/>
          <a:prstDash val="solid"/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228600</xdr:colOff>
      <xdr:row>32</xdr:row>
      <xdr:rowOff>101600</xdr:rowOff>
    </xdr:from>
    <xdr:to>
      <xdr:col>1</xdr:col>
      <xdr:colOff>711200</xdr:colOff>
      <xdr:row>35</xdr:row>
      <xdr:rowOff>152400</xdr:rowOff>
    </xdr:to>
    <xdr:sp macro="" textlink="">
      <xdr:nvSpPr>
        <xdr:cNvPr id="2" name="Graphic 4">
          <a:hlinkClick xmlns:r="http://schemas.openxmlformats.org/officeDocument/2006/relationships" r:id="rId1" tooltip="My linkedin profile"/>
          <a:extLst>
            <a:ext uri="{FF2B5EF4-FFF2-40B4-BE49-F238E27FC236}">
              <a16:creationId xmlns:a16="http://schemas.microsoft.com/office/drawing/2014/main" id="{2742E0B1-9B03-D84C-A812-E02E6C29E114}"/>
            </a:ext>
          </a:extLst>
        </xdr:cNvPr>
        <xdr:cNvSpPr/>
      </xdr:nvSpPr>
      <xdr:spPr>
        <a:xfrm>
          <a:off x="228600" y="7785100"/>
          <a:ext cx="736600" cy="736600"/>
        </a:xfrm>
        <a:custGeom>
          <a:avLst/>
          <a:gdLst>
            <a:gd name="csX0" fmla="*/ 0 w 736600"/>
            <a:gd name="csY0" fmla="*/ 52759 h 736600"/>
            <a:gd name="csX1" fmla="*/ 54094 w 736600"/>
            <a:gd name="csY1" fmla="*/ 0 h 736600"/>
            <a:gd name="csX2" fmla="*/ 682506 w 736600"/>
            <a:gd name="csY2" fmla="*/ 0 h 736600"/>
            <a:gd name="csX3" fmla="*/ 736600 w 736600"/>
            <a:gd name="csY3" fmla="*/ 52759 h 736600"/>
            <a:gd name="csX4" fmla="*/ 736600 w 736600"/>
            <a:gd name="csY4" fmla="*/ 683841 h 736600"/>
            <a:gd name="csX5" fmla="*/ 682506 w 736600"/>
            <a:gd name="csY5" fmla="*/ 736600 h 736600"/>
            <a:gd name="csX6" fmla="*/ 54094 w 736600"/>
            <a:gd name="csY6" fmla="*/ 736600 h 736600"/>
            <a:gd name="csX7" fmla="*/ 0 w 736600"/>
            <a:gd name="csY7" fmla="*/ 683841 h 736600"/>
            <a:gd name="csX8" fmla="*/ 227563 w 736600"/>
            <a:gd name="csY8" fmla="*/ 616626 h 736600"/>
            <a:gd name="csX9" fmla="*/ 227563 w 736600"/>
            <a:gd name="csY9" fmla="*/ 284005 h 736600"/>
            <a:gd name="csX10" fmla="*/ 117027 w 736600"/>
            <a:gd name="csY10" fmla="*/ 284005 h 736600"/>
            <a:gd name="csX11" fmla="*/ 117027 w 736600"/>
            <a:gd name="csY11" fmla="*/ 616626 h 736600"/>
            <a:gd name="csX12" fmla="*/ 172318 w 736600"/>
            <a:gd name="csY12" fmla="*/ 238566 h 736600"/>
            <a:gd name="csX13" fmla="*/ 234837 w 736600"/>
            <a:gd name="csY13" fmla="*/ 181112 h 736600"/>
            <a:gd name="csX14" fmla="*/ 173055 w 736600"/>
            <a:gd name="csY14" fmla="*/ 123657 h 736600"/>
            <a:gd name="csX15" fmla="*/ 110490 w 736600"/>
            <a:gd name="csY15" fmla="*/ 181112 h 736600"/>
            <a:gd name="csX16" fmla="*/ 171582 w 736600"/>
            <a:gd name="csY16" fmla="*/ 238566 h 736600"/>
            <a:gd name="csX17" fmla="*/ 398270 w 736600"/>
            <a:gd name="csY17" fmla="*/ 616626 h 736600"/>
            <a:gd name="csX18" fmla="*/ 398270 w 736600"/>
            <a:gd name="csY18" fmla="*/ 430865 h 736600"/>
            <a:gd name="csX19" fmla="*/ 401953 w 736600"/>
            <a:gd name="csY19" fmla="*/ 403887 h 736600"/>
            <a:gd name="csX20" fmla="*/ 458672 w 736600"/>
            <a:gd name="csY20" fmla="*/ 363466 h 736600"/>
            <a:gd name="csX21" fmla="*/ 514653 w 736600"/>
            <a:gd name="csY21" fmla="*/ 438691 h 736600"/>
            <a:gd name="csX22" fmla="*/ 514653 w 736600"/>
            <a:gd name="csY22" fmla="*/ 616626 h 736600"/>
            <a:gd name="csX23" fmla="*/ 625189 w 736600"/>
            <a:gd name="csY23" fmla="*/ 616626 h 736600"/>
            <a:gd name="csX24" fmla="*/ 625189 w 736600"/>
            <a:gd name="csY24" fmla="*/ 425847 h 736600"/>
            <a:gd name="csX25" fmla="*/ 497942 w 736600"/>
            <a:gd name="csY25" fmla="*/ 276133 h 736600"/>
            <a:gd name="csX26" fmla="*/ 398270 w 736600"/>
            <a:gd name="csY26" fmla="*/ 331056 h 736600"/>
            <a:gd name="csX27" fmla="*/ 398270 w 736600"/>
            <a:gd name="csY27" fmla="*/ 332207 h 736600"/>
            <a:gd name="csX28" fmla="*/ 397534 w 736600"/>
            <a:gd name="csY28" fmla="*/ 332207 h 736600"/>
            <a:gd name="csX29" fmla="*/ 398270 w 736600"/>
            <a:gd name="csY29" fmla="*/ 331056 h 736600"/>
            <a:gd name="csX30" fmla="*/ 398270 w 736600"/>
            <a:gd name="csY30" fmla="*/ 284005 h 736600"/>
            <a:gd name="csX31" fmla="*/ 287780 w 736600"/>
            <a:gd name="csY31" fmla="*/ 284005 h 736600"/>
            <a:gd name="csX32" fmla="*/ 287780 w 736600"/>
            <a:gd name="csY32" fmla="*/ 616626 h 7366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</a:cxnLst>
          <a:rect l="l" t="t" r="r" b="b"/>
          <a:pathLst>
            <a:path w="736600" h="736600">
              <a:moveTo>
                <a:pt x="0" y="52759"/>
              </a:moveTo>
              <a:cubicBezTo>
                <a:pt x="0" y="23617"/>
                <a:pt x="24216" y="0"/>
                <a:pt x="54094" y="0"/>
              </a:cubicBezTo>
              <a:lnTo>
                <a:pt x="682506" y="0"/>
              </a:lnTo>
              <a:cubicBezTo>
                <a:pt x="712384" y="0"/>
                <a:pt x="736600" y="23617"/>
                <a:pt x="736600" y="52759"/>
              </a:cubicBezTo>
              <a:lnTo>
                <a:pt x="736600" y="683841"/>
              </a:lnTo>
              <a:cubicBezTo>
                <a:pt x="736600" y="712983"/>
                <a:pt x="712384" y="736600"/>
                <a:pt x="682506" y="736600"/>
              </a:cubicBezTo>
              <a:lnTo>
                <a:pt x="54094" y="736600"/>
              </a:lnTo>
              <a:cubicBezTo>
                <a:pt x="24216" y="736600"/>
                <a:pt x="0" y="712983"/>
                <a:pt x="0" y="683841"/>
              </a:cubicBezTo>
              <a:close/>
              <a:moveTo>
                <a:pt x="227563" y="616626"/>
              </a:moveTo>
              <a:lnTo>
                <a:pt x="227563" y="284005"/>
              </a:lnTo>
              <a:lnTo>
                <a:pt x="117027" y="284005"/>
              </a:lnTo>
              <a:lnTo>
                <a:pt x="117027" y="616626"/>
              </a:lnTo>
              <a:close/>
              <a:moveTo>
                <a:pt x="172318" y="238566"/>
              </a:moveTo>
              <a:cubicBezTo>
                <a:pt x="210852" y="238566"/>
                <a:pt x="234837" y="213062"/>
                <a:pt x="234837" y="181112"/>
              </a:cubicBezTo>
              <a:cubicBezTo>
                <a:pt x="234147" y="148471"/>
                <a:pt x="210898" y="123657"/>
                <a:pt x="173055" y="123657"/>
              </a:cubicBezTo>
              <a:cubicBezTo>
                <a:pt x="135212" y="123657"/>
                <a:pt x="110490" y="148517"/>
                <a:pt x="110490" y="181112"/>
              </a:cubicBezTo>
              <a:cubicBezTo>
                <a:pt x="110490" y="213062"/>
                <a:pt x="134476" y="238566"/>
                <a:pt x="171582" y="238566"/>
              </a:cubicBezTo>
              <a:close/>
              <a:moveTo>
                <a:pt x="398270" y="616626"/>
              </a:moveTo>
              <a:lnTo>
                <a:pt x="398270" y="430865"/>
              </a:lnTo>
              <a:cubicBezTo>
                <a:pt x="398270" y="420921"/>
                <a:pt x="399007" y="410977"/>
                <a:pt x="401953" y="403887"/>
              </a:cubicBezTo>
              <a:cubicBezTo>
                <a:pt x="409918" y="384045"/>
                <a:pt x="428103" y="363466"/>
                <a:pt x="458672" y="363466"/>
              </a:cubicBezTo>
              <a:cubicBezTo>
                <a:pt x="498678" y="363466"/>
                <a:pt x="514653" y="393943"/>
                <a:pt x="514653" y="438691"/>
              </a:cubicBezTo>
              <a:lnTo>
                <a:pt x="514653" y="616626"/>
              </a:lnTo>
              <a:lnTo>
                <a:pt x="625189" y="616626"/>
              </a:lnTo>
              <a:lnTo>
                <a:pt x="625189" y="425847"/>
              </a:lnTo>
              <a:cubicBezTo>
                <a:pt x="625189" y="323644"/>
                <a:pt x="570681" y="276133"/>
                <a:pt x="497942" y="276133"/>
              </a:cubicBezTo>
              <a:cubicBezTo>
                <a:pt x="439290" y="276133"/>
                <a:pt x="413002" y="308359"/>
                <a:pt x="398270" y="331056"/>
              </a:cubicBezTo>
              <a:lnTo>
                <a:pt x="398270" y="332207"/>
              </a:lnTo>
              <a:lnTo>
                <a:pt x="397534" y="332207"/>
              </a:lnTo>
              <a:lnTo>
                <a:pt x="398270" y="331056"/>
              </a:lnTo>
              <a:lnTo>
                <a:pt x="398270" y="284005"/>
              </a:lnTo>
              <a:lnTo>
                <a:pt x="287780" y="284005"/>
              </a:lnTo>
              <a:cubicBezTo>
                <a:pt x="289162" y="315219"/>
                <a:pt x="287780" y="616626"/>
                <a:pt x="287780" y="616626"/>
              </a:cubicBezTo>
              <a:close/>
            </a:path>
          </a:pathLst>
        </a:custGeom>
        <a:solidFill>
          <a:schemeClr val="tx2">
            <a:lumMod val="75000"/>
            <a:lumOff val="25000"/>
          </a:schemeClr>
        </a:solidFill>
        <a:ln w="45839" cap="flat">
          <a:noFill/>
          <a:prstDash val="solid"/>
          <a:miter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215900</xdr:colOff>
      <xdr:row>32</xdr:row>
      <xdr:rowOff>177800</xdr:rowOff>
    </xdr:from>
    <xdr:to>
      <xdr:col>1</xdr:col>
      <xdr:colOff>698500</xdr:colOff>
      <xdr:row>36</xdr:row>
      <xdr:rowOff>101600</xdr:rowOff>
    </xdr:to>
    <xdr:sp macro="" textlink="">
      <xdr:nvSpPr>
        <xdr:cNvPr id="2" name="Graphic 4">
          <a:hlinkClick xmlns:r="http://schemas.openxmlformats.org/officeDocument/2006/relationships" r:id="rId1" tooltip="My linkedin profile"/>
          <a:extLst>
            <a:ext uri="{FF2B5EF4-FFF2-40B4-BE49-F238E27FC236}">
              <a16:creationId xmlns:a16="http://schemas.microsoft.com/office/drawing/2014/main" id="{4F677969-204E-C44A-AB9A-EAEA0CEC8BE7}"/>
            </a:ext>
          </a:extLst>
        </xdr:cNvPr>
        <xdr:cNvSpPr/>
      </xdr:nvSpPr>
      <xdr:spPr>
        <a:xfrm>
          <a:off x="215900" y="7835900"/>
          <a:ext cx="736600" cy="736600"/>
        </a:xfrm>
        <a:custGeom>
          <a:avLst/>
          <a:gdLst>
            <a:gd name="csX0" fmla="*/ 0 w 736600"/>
            <a:gd name="csY0" fmla="*/ 52759 h 736600"/>
            <a:gd name="csX1" fmla="*/ 54094 w 736600"/>
            <a:gd name="csY1" fmla="*/ 0 h 736600"/>
            <a:gd name="csX2" fmla="*/ 682506 w 736600"/>
            <a:gd name="csY2" fmla="*/ 0 h 736600"/>
            <a:gd name="csX3" fmla="*/ 736600 w 736600"/>
            <a:gd name="csY3" fmla="*/ 52759 h 736600"/>
            <a:gd name="csX4" fmla="*/ 736600 w 736600"/>
            <a:gd name="csY4" fmla="*/ 683841 h 736600"/>
            <a:gd name="csX5" fmla="*/ 682506 w 736600"/>
            <a:gd name="csY5" fmla="*/ 736600 h 736600"/>
            <a:gd name="csX6" fmla="*/ 54094 w 736600"/>
            <a:gd name="csY6" fmla="*/ 736600 h 736600"/>
            <a:gd name="csX7" fmla="*/ 0 w 736600"/>
            <a:gd name="csY7" fmla="*/ 683841 h 736600"/>
            <a:gd name="csX8" fmla="*/ 227563 w 736600"/>
            <a:gd name="csY8" fmla="*/ 616626 h 736600"/>
            <a:gd name="csX9" fmla="*/ 227563 w 736600"/>
            <a:gd name="csY9" fmla="*/ 284005 h 736600"/>
            <a:gd name="csX10" fmla="*/ 117027 w 736600"/>
            <a:gd name="csY10" fmla="*/ 284005 h 736600"/>
            <a:gd name="csX11" fmla="*/ 117027 w 736600"/>
            <a:gd name="csY11" fmla="*/ 616626 h 736600"/>
            <a:gd name="csX12" fmla="*/ 172318 w 736600"/>
            <a:gd name="csY12" fmla="*/ 238566 h 736600"/>
            <a:gd name="csX13" fmla="*/ 234837 w 736600"/>
            <a:gd name="csY13" fmla="*/ 181112 h 736600"/>
            <a:gd name="csX14" fmla="*/ 173055 w 736600"/>
            <a:gd name="csY14" fmla="*/ 123657 h 736600"/>
            <a:gd name="csX15" fmla="*/ 110490 w 736600"/>
            <a:gd name="csY15" fmla="*/ 181112 h 736600"/>
            <a:gd name="csX16" fmla="*/ 171582 w 736600"/>
            <a:gd name="csY16" fmla="*/ 238566 h 736600"/>
            <a:gd name="csX17" fmla="*/ 398270 w 736600"/>
            <a:gd name="csY17" fmla="*/ 616626 h 736600"/>
            <a:gd name="csX18" fmla="*/ 398270 w 736600"/>
            <a:gd name="csY18" fmla="*/ 430865 h 736600"/>
            <a:gd name="csX19" fmla="*/ 401953 w 736600"/>
            <a:gd name="csY19" fmla="*/ 403887 h 736600"/>
            <a:gd name="csX20" fmla="*/ 458672 w 736600"/>
            <a:gd name="csY20" fmla="*/ 363466 h 736600"/>
            <a:gd name="csX21" fmla="*/ 514653 w 736600"/>
            <a:gd name="csY21" fmla="*/ 438691 h 736600"/>
            <a:gd name="csX22" fmla="*/ 514653 w 736600"/>
            <a:gd name="csY22" fmla="*/ 616626 h 736600"/>
            <a:gd name="csX23" fmla="*/ 625189 w 736600"/>
            <a:gd name="csY23" fmla="*/ 616626 h 736600"/>
            <a:gd name="csX24" fmla="*/ 625189 w 736600"/>
            <a:gd name="csY24" fmla="*/ 425847 h 736600"/>
            <a:gd name="csX25" fmla="*/ 497942 w 736600"/>
            <a:gd name="csY25" fmla="*/ 276133 h 736600"/>
            <a:gd name="csX26" fmla="*/ 398270 w 736600"/>
            <a:gd name="csY26" fmla="*/ 331056 h 736600"/>
            <a:gd name="csX27" fmla="*/ 398270 w 736600"/>
            <a:gd name="csY27" fmla="*/ 332207 h 736600"/>
            <a:gd name="csX28" fmla="*/ 397534 w 736600"/>
            <a:gd name="csY28" fmla="*/ 332207 h 736600"/>
            <a:gd name="csX29" fmla="*/ 398270 w 736600"/>
            <a:gd name="csY29" fmla="*/ 331056 h 736600"/>
            <a:gd name="csX30" fmla="*/ 398270 w 736600"/>
            <a:gd name="csY30" fmla="*/ 284005 h 736600"/>
            <a:gd name="csX31" fmla="*/ 287780 w 736600"/>
            <a:gd name="csY31" fmla="*/ 284005 h 736600"/>
            <a:gd name="csX32" fmla="*/ 287780 w 736600"/>
            <a:gd name="csY32" fmla="*/ 616626 h 7366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</a:cxnLst>
          <a:rect l="l" t="t" r="r" b="b"/>
          <a:pathLst>
            <a:path w="736600" h="736600">
              <a:moveTo>
                <a:pt x="0" y="52759"/>
              </a:moveTo>
              <a:cubicBezTo>
                <a:pt x="0" y="23617"/>
                <a:pt x="24216" y="0"/>
                <a:pt x="54094" y="0"/>
              </a:cubicBezTo>
              <a:lnTo>
                <a:pt x="682506" y="0"/>
              </a:lnTo>
              <a:cubicBezTo>
                <a:pt x="712384" y="0"/>
                <a:pt x="736600" y="23617"/>
                <a:pt x="736600" y="52759"/>
              </a:cubicBezTo>
              <a:lnTo>
                <a:pt x="736600" y="683841"/>
              </a:lnTo>
              <a:cubicBezTo>
                <a:pt x="736600" y="712983"/>
                <a:pt x="712384" y="736600"/>
                <a:pt x="682506" y="736600"/>
              </a:cubicBezTo>
              <a:lnTo>
                <a:pt x="54094" y="736600"/>
              </a:lnTo>
              <a:cubicBezTo>
                <a:pt x="24216" y="736600"/>
                <a:pt x="0" y="712983"/>
                <a:pt x="0" y="683841"/>
              </a:cubicBezTo>
              <a:close/>
              <a:moveTo>
                <a:pt x="227563" y="616626"/>
              </a:moveTo>
              <a:lnTo>
                <a:pt x="227563" y="284005"/>
              </a:lnTo>
              <a:lnTo>
                <a:pt x="117027" y="284005"/>
              </a:lnTo>
              <a:lnTo>
                <a:pt x="117027" y="616626"/>
              </a:lnTo>
              <a:close/>
              <a:moveTo>
                <a:pt x="172318" y="238566"/>
              </a:moveTo>
              <a:cubicBezTo>
                <a:pt x="210852" y="238566"/>
                <a:pt x="234837" y="213062"/>
                <a:pt x="234837" y="181112"/>
              </a:cubicBezTo>
              <a:cubicBezTo>
                <a:pt x="234147" y="148471"/>
                <a:pt x="210898" y="123657"/>
                <a:pt x="173055" y="123657"/>
              </a:cubicBezTo>
              <a:cubicBezTo>
                <a:pt x="135212" y="123657"/>
                <a:pt x="110490" y="148517"/>
                <a:pt x="110490" y="181112"/>
              </a:cubicBezTo>
              <a:cubicBezTo>
                <a:pt x="110490" y="213062"/>
                <a:pt x="134476" y="238566"/>
                <a:pt x="171582" y="238566"/>
              </a:cubicBezTo>
              <a:close/>
              <a:moveTo>
                <a:pt x="398270" y="616626"/>
              </a:moveTo>
              <a:lnTo>
                <a:pt x="398270" y="430865"/>
              </a:lnTo>
              <a:cubicBezTo>
                <a:pt x="398270" y="420921"/>
                <a:pt x="399007" y="410977"/>
                <a:pt x="401953" y="403887"/>
              </a:cubicBezTo>
              <a:cubicBezTo>
                <a:pt x="409918" y="384045"/>
                <a:pt x="428103" y="363466"/>
                <a:pt x="458672" y="363466"/>
              </a:cubicBezTo>
              <a:cubicBezTo>
                <a:pt x="498678" y="363466"/>
                <a:pt x="514653" y="393943"/>
                <a:pt x="514653" y="438691"/>
              </a:cubicBezTo>
              <a:lnTo>
                <a:pt x="514653" y="616626"/>
              </a:lnTo>
              <a:lnTo>
                <a:pt x="625189" y="616626"/>
              </a:lnTo>
              <a:lnTo>
                <a:pt x="625189" y="425847"/>
              </a:lnTo>
              <a:cubicBezTo>
                <a:pt x="625189" y="323644"/>
                <a:pt x="570681" y="276133"/>
                <a:pt x="497942" y="276133"/>
              </a:cubicBezTo>
              <a:cubicBezTo>
                <a:pt x="439290" y="276133"/>
                <a:pt x="413002" y="308359"/>
                <a:pt x="398270" y="331056"/>
              </a:cubicBezTo>
              <a:lnTo>
                <a:pt x="398270" y="332207"/>
              </a:lnTo>
              <a:lnTo>
                <a:pt x="397534" y="332207"/>
              </a:lnTo>
              <a:lnTo>
                <a:pt x="398270" y="331056"/>
              </a:lnTo>
              <a:lnTo>
                <a:pt x="398270" y="284005"/>
              </a:lnTo>
              <a:lnTo>
                <a:pt x="287780" y="284005"/>
              </a:lnTo>
              <a:cubicBezTo>
                <a:pt x="289162" y="315219"/>
                <a:pt x="287780" y="616626"/>
                <a:pt x="287780" y="616626"/>
              </a:cubicBezTo>
              <a:close/>
            </a:path>
          </a:pathLst>
        </a:custGeom>
        <a:solidFill>
          <a:schemeClr val="tx2">
            <a:lumMod val="75000"/>
            <a:lumOff val="25000"/>
          </a:schemeClr>
        </a:solidFill>
        <a:ln w="45839" cap="flat">
          <a:noFill/>
          <a:prstDash val="solid"/>
          <a:miter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55CAEF-A6BC-2A4E-A6CF-43665B0310B8}" name="EmployeeTbl1" displayName="EmployeeTbl1" ref="B2:D19" totalsRowShown="0" headerRowDxfId="2" dataDxfId="3">
  <autoFilter ref="B2:D19" xr:uid="{0455CAEF-A6BC-2A4E-A6CF-43665B0310B8}"/>
  <tableColumns count="3">
    <tableColumn id="1" xr3:uid="{BDC502F7-297C-E84A-8D3E-46FBF7DE4FCD}" name="Employee Key" dataDxfId="14"/>
    <tableColumn id="2" xr3:uid="{49A75C40-4955-E145-B54B-819E7A9160BE}" name="Employee Name" dataDxfId="13"/>
    <tableColumn id="3" xr3:uid="{5174259D-00D1-B549-8124-AC58DD4DF72B}" name="Department" dataDxfId="12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2A5CF9-AC59-4347-8F22-251DA1D2ED61}" name="EmployeeTbl2" displayName="EmployeeTbl2" ref="B2:D19" totalsRowShown="0" headerRowDxfId="1" dataDxfId="11">
  <autoFilter ref="B2:D19" xr:uid="{D32A5CF9-AC59-4347-8F22-251DA1D2ED61}"/>
  <tableColumns count="3">
    <tableColumn id="1" xr3:uid="{54E28C39-DC49-3143-A967-7B6B42517CF2}" name="Employee Key" dataDxfId="10"/>
    <tableColumn id="2" xr3:uid="{EE958274-A4D3-B249-8D8E-D15A998EF835}" name="Employee Name" dataDxfId="9"/>
    <tableColumn id="3" xr3:uid="{00BC3990-F9A2-1F44-9948-F7FC8072A6A5}" name="Department" dataDxfId="8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5E91EB-12A3-7446-A9A6-F9A39285F84A}" name="EmployeeTbl3" displayName="EmployeeTbl3" ref="B2:D19" totalsRowShown="0" headerRowDxfId="0" dataDxfId="7">
  <autoFilter ref="B2:D19" xr:uid="{FA5E91EB-12A3-7446-A9A6-F9A39285F84A}"/>
  <tableColumns count="3">
    <tableColumn id="1" xr3:uid="{1FFDBE96-DC15-3742-84D9-88B92012E536}" name="Employee Key" dataDxfId="6"/>
    <tableColumn id="2" xr3:uid="{E3AEA125-8CE7-CE4E-AD2A-79BCCAF263A8}" name="Employee Name" dataDxfId="5"/>
    <tableColumn id="3" xr3:uid="{7C3F43EE-3108-7F4B-9AEA-8102236D34F4}" name="Department" dataDxfId="4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B2B1C-DF43-A047-86EB-86586896B23C}">
  <dimension ref="B1:O22"/>
  <sheetViews>
    <sheetView showGridLines="0" tabSelected="1" zoomScaleNormal="100" workbookViewId="0">
      <selection activeCell="L7" sqref="L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6" x14ac:dyDescent="0.2"/>
  <cols>
    <col min="1" max="1" width="3.33203125" customWidth="1"/>
    <col min="2" max="2" width="20" customWidth="1"/>
    <col min="3" max="3" width="22.83203125" customWidth="1"/>
    <col min="4" max="4" width="18.83203125" customWidth="1"/>
    <col min="5" max="5" width="6.83203125" customWidth="1"/>
    <col min="6" max="10" width="22.83203125" customWidth="1"/>
    <col min="11" max="11" width="6.83203125" customWidth="1"/>
    <col min="12" max="12" width="25.83203125" customWidth="1"/>
    <col min="13" max="13" width="24.83203125" customWidth="1"/>
    <col min="14" max="14" width="21" customWidth="1"/>
  </cols>
  <sheetData>
    <row r="1" spans="2:15" ht="40" customHeight="1" thickTop="1" thickBot="1" x14ac:dyDescent="0.25">
      <c r="B1" s="4" t="s">
        <v>29</v>
      </c>
      <c r="C1" s="4"/>
      <c r="D1" s="4"/>
      <c r="F1" s="5" t="s">
        <v>32</v>
      </c>
      <c r="G1" s="6"/>
      <c r="H1" s="6"/>
      <c r="I1" s="6"/>
      <c r="J1" s="6"/>
      <c r="L1" s="7" t="s">
        <v>26</v>
      </c>
      <c r="M1" s="7"/>
    </row>
    <row r="2" spans="2:15" s="11" customFormat="1" ht="25" customHeight="1" thickTop="1" thickBot="1" x14ac:dyDescent="0.25">
      <c r="B2" s="16" t="s">
        <v>0</v>
      </c>
      <c r="C2" s="16" t="s">
        <v>1</v>
      </c>
      <c r="D2" s="16" t="s">
        <v>2</v>
      </c>
      <c r="F2" s="12" t="str" cm="1">
        <f t="array" ref="F2:J2">TRANSPOSE(_xlfn._xlws.SORT(_xlfn.UNIQUE(EmployeeTbl1[Department])))</f>
        <v>Engineering</v>
      </c>
      <c r="G2" s="12" t="str">
        <v>Finance</v>
      </c>
      <c r="H2" s="12" t="str">
        <v>Legal</v>
      </c>
      <c r="I2" s="12" t="str">
        <v>Marketing</v>
      </c>
      <c r="J2" s="12" t="str">
        <v>Operations</v>
      </c>
      <c r="K2" s="13"/>
      <c r="L2" s="18" t="s">
        <v>27</v>
      </c>
      <c r="M2" s="18" t="s">
        <v>28</v>
      </c>
      <c r="N2" s="13"/>
      <c r="O2" s="13"/>
    </row>
    <row r="3" spans="2:15" ht="18" x14ac:dyDescent="0.2">
      <c r="B3" s="2">
        <v>1</v>
      </c>
      <c r="C3" s="2" t="s">
        <v>3</v>
      </c>
      <c r="D3" s="2" t="s">
        <v>4</v>
      </c>
      <c r="F3" s="3" t="str" cm="1">
        <f t="array" ref="F3:F6">_xlfn._xlws.SORT(_xlfn._xlws.FILTER(EmployeeTbl1[[Employee Name]:[Employee Name]],EmployeeTbl1[[Department]:[Department]]=F2))</f>
        <v>Liam O'Connor</v>
      </c>
      <c r="G3" s="3" t="str" cm="1">
        <f t="array" ref="G3:G6">_xlfn._xlws.SORT(_xlfn._xlws.FILTER(EmployeeTbl1[[Employee Name]:[Employee Name]],EmployeeTbl1[[Department]:[Department]]=G2))</f>
        <v>Anya Kowalski</v>
      </c>
      <c r="H3" s="3" t="str" cm="1">
        <f t="array" ref="H3:H4">_xlfn._xlws.SORT(_xlfn._xlws.FILTER(EmployeeTbl1[[Employee Name]:[Employee Name]],EmployeeTbl1[[Department]:[Department]]=H2))</f>
        <v>Alistair Graham</v>
      </c>
      <c r="I3" s="3" t="str" cm="1">
        <f t="array" ref="I3:I6">_xlfn._xlws.SORT(_xlfn._xlws.FILTER(EmployeeTbl1[[Employee Name]:[Employee Name]],EmployeeTbl1[[Department]:[Department]]=I2))</f>
        <v>Arjun Mehta</v>
      </c>
      <c r="J3" s="3" t="str" cm="1">
        <f t="array" ref="J3:J5">_xlfn._xlws.SORT(_xlfn._xlws.FILTER(EmployeeTbl1[[Employee Name]:[Employee Name]],EmployeeTbl1[[Department]:[Department]]=J2))</f>
        <v>Elena Rostova</v>
      </c>
      <c r="K3" s="3"/>
      <c r="L3" s="17" t="s">
        <v>23</v>
      </c>
      <c r="M3" s="17" t="s">
        <v>22</v>
      </c>
      <c r="N3" s="3"/>
      <c r="O3" s="3"/>
    </row>
    <row r="4" spans="2:15" ht="18" x14ac:dyDescent="0.2">
      <c r="B4" s="2">
        <v>2</v>
      </c>
      <c r="C4" s="2" t="s">
        <v>5</v>
      </c>
      <c r="D4" s="2" t="s">
        <v>4</v>
      </c>
      <c r="F4" s="3" t="str">
        <v>Linnea Lindstrom</v>
      </c>
      <c r="G4" s="3" t="str">
        <v>Elif Yilmaz</v>
      </c>
      <c r="H4" s="3" t="str">
        <v>Seraphina Finch</v>
      </c>
      <c r="I4" s="3" t="str">
        <v>Chloe Dubois</v>
      </c>
      <c r="J4" s="3" t="str">
        <v>Kwamé Mensah</v>
      </c>
      <c r="K4" s="3"/>
      <c r="L4" s="9" t="s">
        <v>18</v>
      </c>
      <c r="M4" s="9" t="s">
        <v>19</v>
      </c>
      <c r="N4" s="3"/>
      <c r="O4" s="3"/>
    </row>
    <row r="5" spans="2:15" ht="18" x14ac:dyDescent="0.2">
      <c r="B5" s="2">
        <v>3</v>
      </c>
      <c r="C5" s="2" t="s">
        <v>6</v>
      </c>
      <c r="D5" s="2" t="s">
        <v>4</v>
      </c>
      <c r="F5" s="3" t="str">
        <v>Priya Nair</v>
      </c>
      <c r="G5" s="3" t="str">
        <v>Silas Thorne</v>
      </c>
      <c r="H5" s="3"/>
      <c r="I5" s="3" t="str">
        <v>Hiroshi Tanaka</v>
      </c>
      <c r="J5" s="3" t="str">
        <v>Marcus Vance</v>
      </c>
      <c r="K5" s="3"/>
      <c r="L5" s="9" t="s">
        <v>18</v>
      </c>
      <c r="M5" s="9" t="s">
        <v>21</v>
      </c>
      <c r="N5" s="3"/>
      <c r="O5" s="3"/>
    </row>
    <row r="6" spans="2:15" ht="18" x14ac:dyDescent="0.2">
      <c r="B6" s="2">
        <v>4</v>
      </c>
      <c r="C6" s="2" t="s">
        <v>7</v>
      </c>
      <c r="D6" s="2" t="s">
        <v>8</v>
      </c>
      <c r="F6" s="3" t="str">
        <v>Tariq Al-Mansoor</v>
      </c>
      <c r="G6" s="3" t="str">
        <v>Zara Sterling</v>
      </c>
      <c r="H6" s="3"/>
      <c r="I6" s="3" t="str">
        <v>Mateo Fernandez</v>
      </c>
      <c r="J6" s="3"/>
      <c r="K6" s="3"/>
      <c r="L6" s="9" t="s">
        <v>13</v>
      </c>
      <c r="M6" s="9" t="s">
        <v>15</v>
      </c>
      <c r="N6" s="3"/>
      <c r="O6" s="3"/>
    </row>
    <row r="7" spans="2:15" ht="18" x14ac:dyDescent="0.2">
      <c r="B7" s="2">
        <v>5</v>
      </c>
      <c r="C7" s="2" t="s">
        <v>9</v>
      </c>
      <c r="D7" s="2" t="s">
        <v>8</v>
      </c>
      <c r="K7" s="3"/>
      <c r="L7" s="9"/>
      <c r="M7" s="9"/>
      <c r="N7" s="3"/>
      <c r="O7" s="3"/>
    </row>
    <row r="8" spans="2:15" ht="18" x14ac:dyDescent="0.2">
      <c r="B8" s="2">
        <v>6</v>
      </c>
      <c r="C8" s="2" t="s">
        <v>10</v>
      </c>
      <c r="D8" s="2" t="s">
        <v>8</v>
      </c>
      <c r="K8" s="3"/>
      <c r="L8" s="9"/>
      <c r="M8" s="9"/>
      <c r="N8" s="3"/>
      <c r="O8" s="3"/>
    </row>
    <row r="9" spans="2:15" ht="18" x14ac:dyDescent="0.2">
      <c r="B9" s="2">
        <v>7</v>
      </c>
      <c r="C9" s="2" t="s">
        <v>11</v>
      </c>
      <c r="D9" s="2" t="s">
        <v>8</v>
      </c>
      <c r="F9" s="3"/>
      <c r="G9" s="3"/>
      <c r="H9" s="3"/>
      <c r="I9" s="3"/>
      <c r="J9" s="3"/>
      <c r="K9" s="3"/>
      <c r="L9" s="9"/>
      <c r="M9" s="9"/>
      <c r="N9" s="3"/>
      <c r="O9" s="3"/>
    </row>
    <row r="10" spans="2:15" ht="18" x14ac:dyDescent="0.2">
      <c r="B10" s="2">
        <v>8</v>
      </c>
      <c r="C10" s="2" t="s">
        <v>12</v>
      </c>
      <c r="D10" s="2" t="s">
        <v>13</v>
      </c>
      <c r="F10" s="3"/>
      <c r="G10" s="3"/>
      <c r="H10" s="3"/>
      <c r="I10" s="3"/>
      <c r="J10" s="3"/>
      <c r="K10" s="3"/>
      <c r="L10" s="9"/>
      <c r="M10" s="9"/>
      <c r="N10" s="3"/>
      <c r="O10" s="3"/>
    </row>
    <row r="11" spans="2:15" ht="18" x14ac:dyDescent="0.2">
      <c r="B11" s="2">
        <v>9</v>
      </c>
      <c r="C11" s="2" t="s">
        <v>14</v>
      </c>
      <c r="D11" s="2" t="s">
        <v>13</v>
      </c>
      <c r="F11" s="3"/>
      <c r="G11" s="3"/>
      <c r="H11" s="3"/>
      <c r="I11" s="3"/>
      <c r="J11" s="3"/>
      <c r="K11" s="3"/>
      <c r="L11" s="9"/>
      <c r="M11" s="9"/>
      <c r="N11" s="3"/>
      <c r="O11" s="3"/>
    </row>
    <row r="12" spans="2:15" ht="18" x14ac:dyDescent="0.2">
      <c r="B12" s="2">
        <v>10</v>
      </c>
      <c r="C12" s="2" t="s">
        <v>15</v>
      </c>
      <c r="D12" s="2" t="s">
        <v>13</v>
      </c>
      <c r="F12" s="3"/>
      <c r="G12" s="3"/>
      <c r="H12" s="3"/>
      <c r="I12" s="3"/>
      <c r="J12" s="3"/>
      <c r="K12" s="3"/>
      <c r="L12" s="9"/>
      <c r="M12" s="9"/>
      <c r="N12" s="3"/>
      <c r="O12" s="3"/>
    </row>
    <row r="13" spans="2:15" ht="18" x14ac:dyDescent="0.2">
      <c r="B13" s="2">
        <v>11</v>
      </c>
      <c r="C13" s="2" t="s">
        <v>16</v>
      </c>
      <c r="D13" s="2" t="s">
        <v>13</v>
      </c>
      <c r="F13" s="3"/>
      <c r="G13" s="3"/>
      <c r="H13" s="3"/>
      <c r="I13" s="3"/>
      <c r="J13" s="3"/>
      <c r="K13" s="3"/>
      <c r="L13" s="9"/>
      <c r="M13" s="9"/>
      <c r="N13" s="3"/>
      <c r="O13" s="3"/>
    </row>
    <row r="14" spans="2:15" ht="19" x14ac:dyDescent="0.25">
      <c r="B14" s="2">
        <v>12</v>
      </c>
      <c r="C14" s="2" t="s">
        <v>17</v>
      </c>
      <c r="D14" s="2" t="s">
        <v>18</v>
      </c>
      <c r="F14" s="3"/>
      <c r="G14" s="3"/>
      <c r="I14" s="3"/>
      <c r="J14" s="3"/>
      <c r="K14" s="3"/>
      <c r="L14" s="10"/>
      <c r="M14" s="10"/>
      <c r="N14" s="3"/>
      <c r="O14" s="3"/>
    </row>
    <row r="15" spans="2:15" ht="19" x14ac:dyDescent="0.25">
      <c r="B15" s="2">
        <v>13</v>
      </c>
      <c r="C15" s="2" t="s">
        <v>19</v>
      </c>
      <c r="D15" s="2" t="s">
        <v>18</v>
      </c>
      <c r="F15" s="3"/>
      <c r="G15" s="3"/>
      <c r="I15" s="3"/>
      <c r="J15" s="3"/>
      <c r="K15" s="3"/>
      <c r="L15" s="10"/>
      <c r="M15" s="10"/>
      <c r="N15" s="3"/>
      <c r="O15" s="3"/>
    </row>
    <row r="16" spans="2:15" ht="19" x14ac:dyDescent="0.25">
      <c r="B16" s="2">
        <v>14</v>
      </c>
      <c r="C16" s="2" t="s">
        <v>20</v>
      </c>
      <c r="D16" s="2" t="s">
        <v>18</v>
      </c>
      <c r="L16" s="10"/>
      <c r="M16" s="10"/>
    </row>
    <row r="17" spans="2:13" ht="19" x14ac:dyDescent="0.25">
      <c r="B17" s="2">
        <v>15</v>
      </c>
      <c r="C17" s="2" t="s">
        <v>21</v>
      </c>
      <c r="D17" s="2" t="s">
        <v>18</v>
      </c>
      <c r="L17" s="10"/>
      <c r="M17" s="10"/>
    </row>
    <row r="18" spans="2:13" ht="19" x14ac:dyDescent="0.25">
      <c r="B18" s="2">
        <v>16</v>
      </c>
      <c r="C18" s="2" t="s">
        <v>22</v>
      </c>
      <c r="D18" s="2" t="s">
        <v>23</v>
      </c>
      <c r="L18" s="10"/>
      <c r="M18" s="10"/>
    </row>
    <row r="19" spans="2:13" ht="19" x14ac:dyDescent="0.25">
      <c r="B19" s="2">
        <v>17</v>
      </c>
      <c r="C19" s="2" t="s">
        <v>24</v>
      </c>
      <c r="D19" s="2" t="s">
        <v>23</v>
      </c>
      <c r="L19" s="8"/>
      <c r="M19" s="8"/>
    </row>
    <row r="20" spans="2:13" ht="19" x14ac:dyDescent="0.25">
      <c r="L20" s="1"/>
      <c r="M20" s="1"/>
    </row>
    <row r="21" spans="2:13" ht="19" x14ac:dyDescent="0.25">
      <c r="L21" s="1"/>
      <c r="M21" s="1"/>
    </row>
    <row r="22" spans="2:13" ht="19" x14ac:dyDescent="0.25">
      <c r="L22" s="1"/>
      <c r="M22" s="1"/>
    </row>
  </sheetData>
  <dataValidations count="3">
    <dataValidation type="list" allowBlank="1" showInputMessage="1" showErrorMessage="1" sqref="L3:L19" xr:uid="{51DF23C0-D23A-7647-BB1B-C85202DF2EF6}">
      <formula1>_xlfn.ANCHORARRAY($F$2)</formula1>
    </dataValidation>
    <dataValidation type="list" allowBlank="1" showInputMessage="1" showErrorMessage="1" sqref="M3:M19" xr:uid="{31874332-FDAD-D04C-966A-951AB71D3CB4}">
      <formula1>_xlfn.XLOOKUP(L3, $F$2:$J$2, $F$3:$J$19, $F$3:$J$19)</formula1>
    </dataValidation>
    <dataValidation type="list" allowBlank="1" showInputMessage="1" showErrorMessage="1" sqref="R3:R18" xr:uid="{E0A9DD36-4D99-784F-9417-C8204976EFCD}">
      <formula1>_xlfn.XLOOKUP(L3, $F$2:$J$2, $F$3:$J$19, $F$3:$J$19)</formula1>
    </dataValidation>
  </dataValidations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1430C-4F74-A942-AD5E-F40703CD4AF5}">
  <dimension ref="A1:R27"/>
  <sheetViews>
    <sheetView showGridLines="0" zoomScaleNormal="100" workbookViewId="0">
      <selection activeCell="H8" sqref="H8"/>
    </sheetView>
  </sheetViews>
  <sheetFormatPr baseColWidth="10" defaultRowHeight="18" x14ac:dyDescent="0.2"/>
  <cols>
    <col min="1" max="1" width="3.33203125" style="3" customWidth="1"/>
    <col min="2" max="2" width="20" customWidth="1"/>
    <col min="3" max="3" width="22.83203125" customWidth="1"/>
    <col min="4" max="4" width="18.83203125" customWidth="1"/>
    <col min="6" max="6" width="23.33203125" bestFit="1" customWidth="1"/>
    <col min="8" max="8" width="25.83203125" customWidth="1"/>
    <col min="9" max="9" width="24.83203125" customWidth="1"/>
  </cols>
  <sheetData>
    <row r="1" spans="1:18" s="3" customFormat="1" ht="40" customHeight="1" thickTop="1" thickBot="1" x14ac:dyDescent="0.25">
      <c r="B1" s="4" t="s">
        <v>29</v>
      </c>
      <c r="C1" s="4"/>
      <c r="D1" s="4"/>
      <c r="H1" s="7" t="s">
        <v>26</v>
      </c>
      <c r="I1" s="7"/>
    </row>
    <row r="2" spans="1:18" s="11" customFormat="1" ht="25" customHeight="1" thickTop="1" x14ac:dyDescent="0.2">
      <c r="A2" s="13"/>
      <c r="B2" s="19" t="s">
        <v>0</v>
      </c>
      <c r="C2" s="19" t="s">
        <v>1</v>
      </c>
      <c r="D2" s="19" t="s">
        <v>2</v>
      </c>
      <c r="F2" s="15" t="s">
        <v>25</v>
      </c>
      <c r="G2" s="13"/>
      <c r="H2" s="14" t="s">
        <v>30</v>
      </c>
      <c r="I2" s="14" t="s">
        <v>31</v>
      </c>
      <c r="J2" s="13"/>
      <c r="K2" s="13"/>
      <c r="L2" s="13"/>
      <c r="M2" s="13"/>
      <c r="N2" s="13"/>
      <c r="O2" s="13"/>
      <c r="P2" s="13"/>
      <c r="Q2" s="13"/>
      <c r="R2" s="13"/>
    </row>
    <row r="3" spans="1:18" x14ac:dyDescent="0.2">
      <c r="B3" s="2">
        <v>1</v>
      </c>
      <c r="C3" s="2" t="s">
        <v>3</v>
      </c>
      <c r="D3" s="2" t="s">
        <v>4</v>
      </c>
      <c r="F3" s="3" t="str" cm="1">
        <f t="array" ref="F3:F7">_xlfn._xlws.SORT(_xlfn.UNIQUE(EmployeeTbl2[Department]))</f>
        <v>Engineering</v>
      </c>
      <c r="G3" s="3"/>
      <c r="H3" s="17" t="s">
        <v>23</v>
      </c>
      <c r="I3" s="17" t="s">
        <v>24</v>
      </c>
      <c r="J3" s="3"/>
      <c r="K3" s="3"/>
      <c r="L3" s="3"/>
      <c r="M3" s="3"/>
      <c r="N3" s="3"/>
      <c r="O3" s="3"/>
      <c r="P3" s="3"/>
      <c r="Q3" s="3"/>
      <c r="R3" s="3"/>
    </row>
    <row r="4" spans="1:18" x14ac:dyDescent="0.2">
      <c r="B4" s="2">
        <v>2</v>
      </c>
      <c r="C4" s="2" t="s">
        <v>5</v>
      </c>
      <c r="D4" s="2" t="s">
        <v>4</v>
      </c>
      <c r="F4" s="3" t="str">
        <v>Finance</v>
      </c>
      <c r="G4" s="3"/>
      <c r="H4" s="9" t="s">
        <v>13</v>
      </c>
      <c r="I4" s="9" t="s">
        <v>14</v>
      </c>
      <c r="J4" s="3"/>
      <c r="K4" s="3"/>
      <c r="L4" s="3"/>
      <c r="M4" s="3"/>
      <c r="N4" s="3"/>
      <c r="O4" s="3"/>
      <c r="P4" s="3"/>
      <c r="Q4" s="3"/>
      <c r="R4" s="3"/>
    </row>
    <row r="5" spans="1:18" x14ac:dyDescent="0.2">
      <c r="B5" s="2">
        <v>3</v>
      </c>
      <c r="C5" s="2" t="s">
        <v>6</v>
      </c>
      <c r="D5" s="2" t="s">
        <v>4</v>
      </c>
      <c r="F5" s="3" t="str">
        <v>Legal</v>
      </c>
      <c r="G5" s="3"/>
      <c r="H5" s="9" t="s">
        <v>4</v>
      </c>
      <c r="I5" s="9" t="s">
        <v>6</v>
      </c>
      <c r="J5" s="3"/>
      <c r="K5" s="3"/>
      <c r="L5" s="3"/>
      <c r="M5" s="3"/>
      <c r="N5" s="3"/>
      <c r="O5" s="3"/>
      <c r="P5" s="3"/>
      <c r="Q5" s="3"/>
      <c r="R5" s="3"/>
    </row>
    <row r="6" spans="1:18" x14ac:dyDescent="0.2">
      <c r="B6" s="2">
        <v>4</v>
      </c>
      <c r="C6" s="2" t="s">
        <v>7</v>
      </c>
      <c r="D6" s="2" t="s">
        <v>8</v>
      </c>
      <c r="F6" s="3" t="str">
        <v>Marketing</v>
      </c>
      <c r="G6" s="3"/>
      <c r="H6" s="9" t="s">
        <v>13</v>
      </c>
      <c r="I6" s="9" t="s">
        <v>15</v>
      </c>
      <c r="J6" s="3"/>
      <c r="K6" s="3"/>
      <c r="L6" s="3"/>
      <c r="M6" s="3"/>
      <c r="N6" s="3"/>
      <c r="O6" s="3"/>
      <c r="P6" s="3"/>
      <c r="Q6" s="3"/>
      <c r="R6" s="3"/>
    </row>
    <row r="7" spans="1:18" x14ac:dyDescent="0.2">
      <c r="B7" s="2">
        <v>5</v>
      </c>
      <c r="C7" s="2" t="s">
        <v>9</v>
      </c>
      <c r="D7" s="2" t="s">
        <v>8</v>
      </c>
      <c r="F7" s="3" t="str">
        <v>Operations</v>
      </c>
      <c r="G7" s="3"/>
      <c r="H7" s="9" t="s">
        <v>18</v>
      </c>
      <c r="I7" s="9" t="s">
        <v>21</v>
      </c>
      <c r="J7" s="3"/>
      <c r="K7" s="3"/>
      <c r="L7" s="3"/>
      <c r="M7" s="3"/>
      <c r="N7" s="3"/>
      <c r="O7" s="3"/>
      <c r="P7" s="3"/>
      <c r="Q7" s="3"/>
      <c r="R7" s="3"/>
    </row>
    <row r="8" spans="1:18" x14ac:dyDescent="0.2">
      <c r="B8" s="2">
        <v>6</v>
      </c>
      <c r="C8" s="2" t="s">
        <v>10</v>
      </c>
      <c r="D8" s="2" t="s">
        <v>8</v>
      </c>
      <c r="F8" s="3"/>
      <c r="G8" s="3"/>
      <c r="H8" s="9"/>
      <c r="I8" s="9"/>
      <c r="J8" s="3"/>
      <c r="K8" s="3"/>
      <c r="L8" s="3"/>
      <c r="M8" s="3"/>
      <c r="N8" s="3"/>
      <c r="O8" s="3"/>
      <c r="P8" s="3"/>
      <c r="Q8" s="3"/>
      <c r="R8" s="3"/>
    </row>
    <row r="9" spans="1:18" x14ac:dyDescent="0.2">
      <c r="B9" s="2">
        <v>7</v>
      </c>
      <c r="C9" s="2" t="s">
        <v>11</v>
      </c>
      <c r="D9" s="2" t="s">
        <v>8</v>
      </c>
      <c r="F9" s="3"/>
      <c r="G9" s="3"/>
      <c r="H9" s="9"/>
      <c r="I9" s="9"/>
      <c r="J9" s="3"/>
      <c r="K9" s="3"/>
      <c r="L9" s="3"/>
      <c r="M9" s="3"/>
      <c r="N9" s="3"/>
      <c r="O9" s="3"/>
      <c r="P9" s="3"/>
      <c r="Q9" s="3"/>
      <c r="R9" s="3"/>
    </row>
    <row r="10" spans="1:18" x14ac:dyDescent="0.2">
      <c r="B10" s="2">
        <v>8</v>
      </c>
      <c r="C10" s="2" t="s">
        <v>12</v>
      </c>
      <c r="D10" s="2" t="s">
        <v>13</v>
      </c>
      <c r="F10" s="3"/>
      <c r="G10" s="3"/>
      <c r="H10" s="9"/>
      <c r="I10" s="9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2">
      <c r="B11" s="2">
        <v>9</v>
      </c>
      <c r="C11" s="2" t="s">
        <v>14</v>
      </c>
      <c r="D11" s="2" t="s">
        <v>13</v>
      </c>
      <c r="F11" s="3"/>
      <c r="G11" s="3"/>
      <c r="H11" s="9"/>
      <c r="I11" s="9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B12" s="2">
        <v>10</v>
      </c>
      <c r="C12" s="2" t="s">
        <v>15</v>
      </c>
      <c r="D12" s="2" t="s">
        <v>13</v>
      </c>
      <c r="F12" s="3"/>
      <c r="G12" s="3"/>
      <c r="H12" s="9"/>
      <c r="I12" s="9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">
      <c r="B13" s="2">
        <v>11</v>
      </c>
      <c r="C13" s="2" t="s">
        <v>16</v>
      </c>
      <c r="D13" s="2" t="s">
        <v>13</v>
      </c>
      <c r="F13" s="3"/>
      <c r="G13" s="3"/>
      <c r="H13" s="9"/>
      <c r="I13" s="9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2">
      <c r="B14" s="2">
        <v>12</v>
      </c>
      <c r="C14" s="2" t="s">
        <v>17</v>
      </c>
      <c r="D14" s="2" t="s">
        <v>18</v>
      </c>
      <c r="F14" s="3"/>
      <c r="G14" s="3"/>
      <c r="H14" s="9"/>
      <c r="I14" s="9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2">
      <c r="B15" s="2">
        <v>13</v>
      </c>
      <c r="C15" s="2" t="s">
        <v>19</v>
      </c>
      <c r="D15" s="2" t="s">
        <v>18</v>
      </c>
      <c r="F15" s="3"/>
      <c r="G15" s="3"/>
      <c r="H15" s="9"/>
      <c r="I15" s="9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2">
      <c r="B16" s="2">
        <v>14</v>
      </c>
      <c r="C16" s="2" t="s">
        <v>20</v>
      </c>
      <c r="D16" s="2" t="s">
        <v>18</v>
      </c>
      <c r="F16" s="3"/>
      <c r="G16" s="3"/>
      <c r="H16" s="9"/>
      <c r="I16" s="9"/>
      <c r="J16" s="3"/>
      <c r="K16" s="3"/>
      <c r="L16" s="3"/>
      <c r="M16" s="3"/>
      <c r="N16" s="3"/>
      <c r="O16" s="3"/>
      <c r="P16" s="3"/>
      <c r="Q16" s="3"/>
      <c r="R16" s="3"/>
    </row>
    <row r="17" spans="2:18" x14ac:dyDescent="0.2">
      <c r="B17" s="2">
        <v>15</v>
      </c>
      <c r="C17" s="2" t="s">
        <v>21</v>
      </c>
      <c r="D17" s="2" t="s">
        <v>18</v>
      </c>
      <c r="F17" s="3"/>
      <c r="G17" s="3"/>
      <c r="H17" s="9"/>
      <c r="I17" s="9"/>
      <c r="J17" s="3"/>
      <c r="K17" s="3"/>
      <c r="L17" s="3"/>
      <c r="M17" s="3"/>
      <c r="N17" s="3"/>
      <c r="O17" s="3"/>
      <c r="P17" s="3"/>
      <c r="Q17" s="3"/>
      <c r="R17" s="3"/>
    </row>
    <row r="18" spans="2:18" x14ac:dyDescent="0.2">
      <c r="B18" s="2">
        <v>16</v>
      </c>
      <c r="C18" s="2" t="s">
        <v>22</v>
      </c>
      <c r="D18" s="2" t="s">
        <v>23</v>
      </c>
      <c r="F18" s="3"/>
      <c r="G18" s="3"/>
      <c r="H18" s="9"/>
      <c r="I18" s="9"/>
      <c r="J18" s="3"/>
      <c r="K18" s="3"/>
      <c r="L18" s="3"/>
      <c r="M18" s="3"/>
      <c r="N18" s="3"/>
      <c r="O18" s="3"/>
      <c r="P18" s="3"/>
      <c r="Q18" s="3"/>
      <c r="R18" s="3"/>
    </row>
    <row r="19" spans="2:18" x14ac:dyDescent="0.2">
      <c r="B19" s="2">
        <v>17</v>
      </c>
      <c r="C19" s="2" t="s">
        <v>24</v>
      </c>
      <c r="D19" s="2" t="s">
        <v>23</v>
      </c>
      <c r="F19" s="3"/>
      <c r="G19" s="3"/>
      <c r="H19" s="9"/>
      <c r="I19" s="9"/>
      <c r="J19" s="3"/>
      <c r="K19" s="3"/>
      <c r="L19" s="3"/>
      <c r="M19" s="3"/>
      <c r="N19" s="3"/>
      <c r="O19" s="3"/>
      <c r="P19" s="3"/>
      <c r="Q19" s="3"/>
      <c r="R19" s="3"/>
    </row>
    <row r="20" spans="2:18" x14ac:dyDescent="0.2"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2:18" x14ac:dyDescent="0.2"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2:18" x14ac:dyDescent="0.2"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2:18" x14ac:dyDescent="0.2"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2:18" x14ac:dyDescent="0.2"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2:18" x14ac:dyDescent="0.2"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2:18" x14ac:dyDescent="0.2"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2:18" x14ac:dyDescent="0.2"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</sheetData>
  <dataValidations count="2">
    <dataValidation type="list" allowBlank="1" showInputMessage="1" showErrorMessage="1" sqref="H3:H19" xr:uid="{81B20FEF-5784-C34E-A0EF-F22146B46BB0}">
      <formula1>_xlfn.ANCHORARRAY($F$3)</formula1>
    </dataValidation>
    <dataValidation type="list" allowBlank="1" showInputMessage="1" showErrorMessage="1" sqref="I3:I19" xr:uid="{8D0EED1D-D879-124C-AC2B-323E7CE47AD3}">
      <formula1>Employess</formula1>
    </dataValidation>
  </dataValidations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9D68E-C17B-0E44-ABE4-B7D91CFB9B18}">
  <dimension ref="B1:K21"/>
  <sheetViews>
    <sheetView showGridLines="0" zoomScaleNormal="100" workbookViewId="0">
      <selection activeCell="J3" sqref="J3"/>
    </sheetView>
  </sheetViews>
  <sheetFormatPr baseColWidth="10" defaultRowHeight="16" x14ac:dyDescent="0.2"/>
  <cols>
    <col min="1" max="1" width="3.33203125" customWidth="1"/>
    <col min="2" max="2" width="20" bestFit="1" customWidth="1"/>
    <col min="3" max="3" width="22.1640625" customWidth="1"/>
    <col min="4" max="4" width="17.5" customWidth="1"/>
    <col min="6" max="6" width="23.33203125" bestFit="1" customWidth="1"/>
    <col min="7" max="7" width="6.1640625" customWidth="1"/>
    <col min="8" max="8" width="30.83203125" customWidth="1"/>
    <col min="10" max="10" width="31.33203125" customWidth="1"/>
    <col min="11" max="11" width="33.1640625" customWidth="1"/>
  </cols>
  <sheetData>
    <row r="1" spans="2:11" ht="40" customHeight="1" thickTop="1" thickBot="1" x14ac:dyDescent="0.25">
      <c r="B1" s="4" t="s">
        <v>29</v>
      </c>
      <c r="C1" s="4"/>
      <c r="D1" s="4"/>
      <c r="J1" s="7" t="s">
        <v>33</v>
      </c>
      <c r="K1" s="7"/>
    </row>
    <row r="2" spans="2:11" s="11" customFormat="1" ht="45" customHeight="1" thickTop="1" x14ac:dyDescent="0.2">
      <c r="B2" s="19" t="s">
        <v>0</v>
      </c>
      <c r="C2" s="19" t="s">
        <v>1</v>
      </c>
      <c r="D2" s="19" t="s">
        <v>2</v>
      </c>
      <c r="F2" s="21" t="s">
        <v>25</v>
      </c>
      <c r="H2" s="22" t="s">
        <v>34</v>
      </c>
      <c r="J2" s="20" t="s">
        <v>30</v>
      </c>
      <c r="K2" s="20" t="s">
        <v>31</v>
      </c>
    </row>
    <row r="3" spans="2:11" ht="18" x14ac:dyDescent="0.2">
      <c r="B3" s="2">
        <v>1</v>
      </c>
      <c r="C3" s="2" t="s">
        <v>3</v>
      </c>
      <c r="D3" s="2" t="s">
        <v>4</v>
      </c>
      <c r="F3" s="3" t="str" cm="1">
        <f t="array" ref="F3:F7">_xlfn._xlws.SORT(_xlfn.UNIQUE(EmployeeTbl3[Department]))</f>
        <v>Engineering</v>
      </c>
      <c r="H3" s="3" t="str" cm="1">
        <f t="array" ref="H3:H6">_xlfn._xlws.SORT(_xlfn._xlws.FILTER(EmployeeTbl3[Employee Name],EmployeeTbl3[Department]=J3, "No Department Selected"))</f>
        <v>Liam O'Connor</v>
      </c>
      <c r="J3" s="17" t="s">
        <v>8</v>
      </c>
      <c r="K3" s="17"/>
    </row>
    <row r="4" spans="2:11" ht="18" x14ac:dyDescent="0.2">
      <c r="B4" s="2">
        <v>2</v>
      </c>
      <c r="C4" s="2" t="s">
        <v>5</v>
      </c>
      <c r="D4" s="2" t="s">
        <v>4</v>
      </c>
      <c r="F4" s="3" t="str">
        <v>Finance</v>
      </c>
      <c r="H4" s="3" t="str">
        <v>Linnea Lindstrom</v>
      </c>
      <c r="K4" s="3"/>
    </row>
    <row r="5" spans="2:11" ht="18" x14ac:dyDescent="0.2">
      <c r="B5" s="2">
        <v>3</v>
      </c>
      <c r="C5" s="2" t="s">
        <v>6</v>
      </c>
      <c r="D5" s="2" t="s">
        <v>4</v>
      </c>
      <c r="F5" s="3" t="str">
        <v>Legal</v>
      </c>
      <c r="H5" s="3" t="str">
        <v>Priya Nair</v>
      </c>
      <c r="K5" s="3"/>
    </row>
    <row r="6" spans="2:11" ht="18" x14ac:dyDescent="0.2">
      <c r="B6" s="2">
        <v>4</v>
      </c>
      <c r="C6" s="2" t="s">
        <v>7</v>
      </c>
      <c r="D6" s="2" t="s">
        <v>8</v>
      </c>
      <c r="F6" s="3" t="str">
        <v>Marketing</v>
      </c>
      <c r="H6" s="3" t="str">
        <v>Tariq Al-Mansoor</v>
      </c>
      <c r="K6" s="3"/>
    </row>
    <row r="7" spans="2:11" ht="18" x14ac:dyDescent="0.2">
      <c r="B7" s="2">
        <v>5</v>
      </c>
      <c r="C7" s="2" t="s">
        <v>9</v>
      </c>
      <c r="D7" s="2" t="s">
        <v>8</v>
      </c>
      <c r="F7" s="3" t="str">
        <v>Operations</v>
      </c>
      <c r="H7" s="3"/>
      <c r="K7" s="3"/>
    </row>
    <row r="8" spans="2:11" ht="18" x14ac:dyDescent="0.2">
      <c r="B8" s="2">
        <v>6</v>
      </c>
      <c r="C8" s="2" t="s">
        <v>10</v>
      </c>
      <c r="D8" s="2" t="s">
        <v>8</v>
      </c>
      <c r="F8" s="3"/>
      <c r="H8" s="3"/>
      <c r="K8" s="3"/>
    </row>
    <row r="9" spans="2:11" ht="18" x14ac:dyDescent="0.2">
      <c r="B9" s="2">
        <v>7</v>
      </c>
      <c r="C9" s="2" t="s">
        <v>11</v>
      </c>
      <c r="D9" s="2" t="s">
        <v>8</v>
      </c>
      <c r="F9" s="3"/>
      <c r="H9" s="3"/>
      <c r="K9" s="3"/>
    </row>
    <row r="10" spans="2:11" ht="18" x14ac:dyDescent="0.2">
      <c r="B10" s="2">
        <v>8</v>
      </c>
      <c r="C10" s="2" t="s">
        <v>12</v>
      </c>
      <c r="D10" s="2" t="s">
        <v>13</v>
      </c>
      <c r="H10" s="3"/>
      <c r="K10" s="3"/>
    </row>
    <row r="11" spans="2:11" ht="18" x14ac:dyDescent="0.2">
      <c r="B11" s="2">
        <v>9</v>
      </c>
      <c r="C11" s="2" t="s">
        <v>14</v>
      </c>
      <c r="D11" s="2" t="s">
        <v>13</v>
      </c>
      <c r="H11" s="3"/>
      <c r="K11" s="3"/>
    </row>
    <row r="12" spans="2:11" ht="18" x14ac:dyDescent="0.2">
      <c r="B12" s="2">
        <v>10</v>
      </c>
      <c r="C12" s="2" t="s">
        <v>15</v>
      </c>
      <c r="D12" s="2" t="s">
        <v>13</v>
      </c>
      <c r="H12" s="3"/>
      <c r="K12" s="3"/>
    </row>
    <row r="13" spans="2:11" ht="18" x14ac:dyDescent="0.2">
      <c r="B13" s="2">
        <v>11</v>
      </c>
      <c r="C13" s="2" t="s">
        <v>16</v>
      </c>
      <c r="D13" s="2" t="s">
        <v>13</v>
      </c>
      <c r="H13" s="3"/>
      <c r="K13" s="3"/>
    </row>
    <row r="14" spans="2:11" ht="18" x14ac:dyDescent="0.2">
      <c r="B14" s="2">
        <v>12</v>
      </c>
      <c r="C14" s="2" t="s">
        <v>17</v>
      </c>
      <c r="D14" s="2" t="s">
        <v>18</v>
      </c>
      <c r="H14" s="3"/>
      <c r="K14" s="3"/>
    </row>
    <row r="15" spans="2:11" ht="18" x14ac:dyDescent="0.2">
      <c r="B15" s="2">
        <v>13</v>
      </c>
      <c r="C15" s="2" t="s">
        <v>19</v>
      </c>
      <c r="D15" s="2" t="s">
        <v>18</v>
      </c>
      <c r="H15" s="3"/>
      <c r="K15" s="3"/>
    </row>
    <row r="16" spans="2:11" ht="18" x14ac:dyDescent="0.2">
      <c r="B16" s="2">
        <v>14</v>
      </c>
      <c r="C16" s="2" t="s">
        <v>20</v>
      </c>
      <c r="D16" s="2" t="s">
        <v>18</v>
      </c>
      <c r="H16" s="3"/>
      <c r="K16" s="3"/>
    </row>
    <row r="17" spans="2:11" ht="18" x14ac:dyDescent="0.2">
      <c r="B17" s="2">
        <v>15</v>
      </c>
      <c r="C17" s="2" t="s">
        <v>21</v>
      </c>
      <c r="D17" s="2" t="s">
        <v>18</v>
      </c>
      <c r="H17" s="3"/>
      <c r="K17" s="3"/>
    </row>
    <row r="18" spans="2:11" ht="18" x14ac:dyDescent="0.2">
      <c r="B18" s="2">
        <v>16</v>
      </c>
      <c r="C18" s="2" t="s">
        <v>22</v>
      </c>
      <c r="D18" s="2" t="s">
        <v>23</v>
      </c>
      <c r="H18" s="3"/>
      <c r="K18" s="3"/>
    </row>
    <row r="19" spans="2:11" ht="18" x14ac:dyDescent="0.2">
      <c r="B19" s="2">
        <v>17</v>
      </c>
      <c r="C19" s="2" t="s">
        <v>24</v>
      </c>
      <c r="D19" s="2" t="s">
        <v>23</v>
      </c>
      <c r="H19" s="3"/>
    </row>
    <row r="20" spans="2:11" ht="18" x14ac:dyDescent="0.2">
      <c r="H20" s="3"/>
    </row>
    <row r="21" spans="2:11" ht="18" x14ac:dyDescent="0.2">
      <c r="H21" s="3"/>
    </row>
  </sheetData>
  <dataValidations count="2">
    <dataValidation type="list" allowBlank="1" showInputMessage="1" showErrorMessage="1" sqref="J3" xr:uid="{27C9CC6D-7762-9E46-B354-8E2421DB1AE4}">
      <formula1>_xlfn.ANCHORARRAY($F$3)</formula1>
    </dataValidation>
    <dataValidation type="list" allowBlank="1" showInputMessage="1" showErrorMessage="1" sqref="K3" xr:uid="{82B651AE-A25D-334F-B860-C328AFC03177}">
      <formula1>_xlfn.ANCHORARRAY($H$3)</formula1>
    </dataValidation>
  </dataValidations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Multirow - Xlookup 1</vt:lpstr>
      <vt:lpstr>Multirow - Xlookup 2</vt:lpstr>
      <vt:lpstr>Single Row - 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Gharaei</dc:creator>
  <cp:lastModifiedBy>Amin Gharaei</cp:lastModifiedBy>
  <dcterms:created xsi:type="dcterms:W3CDTF">2026-06-22T13:31:03Z</dcterms:created>
  <dcterms:modified xsi:type="dcterms:W3CDTF">2026-06-28T14:17:24Z</dcterms:modified>
</cp:coreProperties>
</file>